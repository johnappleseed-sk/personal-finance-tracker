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_6Month_Trend_DSS" sheetId="1" r:id="rId1"/>
    <sheet name="2_Category_Breakdown" sheetId="2" r:id="rId2"/>
    <sheet name="3_TPS_Ledger_66_Rows" sheetId="3" r:id="rId3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name val="Calibri"/>
    </font>
    <font>
      <b/>
      <sz val="13"/>
      <color rgb="FF0F172A"/>
      <name val="Calibri"/>
    </font>
    <font>
      <b/>
      <sz val="11"/>
      <color rgb="FFFFFFFF"/>
      <name val="Calibri"/>
    </font>
    <font>
      <b/>
      <sz val="11"/>
      <color rgb="FF0F172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1" applyBorder="1"/>
    <xf numFmtId="0" fontId="1" fillId="0" borderId="0" applyFont="1"/>
    <xf numFmtId="0" fontId="2" fillId="2" borderId="1" applyFont="1" applyFill="1" applyBorder="1"/>
    <xf numFmtId="164" fontId="0" fillId="0" borderId="1" applyNumberFormat="1" applyBorder="1"/>
    <xf numFmtId="0" fontId="3" fillId="3" borderId="1" applyFont="1" applyFill="1" applyBorder="1"/>
    <xf numFmtId="164" fontId="3" fillId="3" borderId="1" applyNumberFormat="1" applyFont="1" applyFill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4" customWidth="1"/>
    <col min="2" max="2" width="18" customWidth="1"/>
    <col min="3" max="3" width="18" customWidth="1"/>
    <col min="4" max="4" width="22" customWidth="1"/>
    <col min="5" max="5" width="22" customWidth="1"/>
    <col min="6" max="6" width="20" customWidth="1"/>
    <col min="7" max="7" width="20" customWidth="1"/>
    <col min="8" max="8" width="24" customWidth="1"/>
  </cols>
  <sheetData>
    <row r="1">
      <c r="A1" s="1" t="inlineStr">
        <is>
          <t>MIS Part 4: 6-Month Cash Flow Trend &amp; Decision Support Analysis (May - Oct 2026)</t>
        </is>
      </c>
    </row>
    <row r="2">
      <c r="A2" s="0" t="inlineStr">
        <is>
          <t>Course: Management Information Systems (MIS) — Lecturer: Pay Laten</t>
        </is>
      </c>
    </row>
    <row r="3">
</row>
    <row r="4">
      <c r="A4" s="2" t="inlineStr">
        <is>
          <t>Month</t>
        </is>
      </c>
      <c r="B4" s="2" t="inlineStr">
        <is>
          <t>USD Income ($)</t>
        </is>
      </c>
      <c r="C4" s="2" t="inlineStr">
        <is>
          <t>USD Expense ($)</t>
        </is>
      </c>
      <c r="D4" s="2" t="inlineStr">
        <is>
          <t>USD Net Cash Flow ($)</t>
        </is>
      </c>
      <c r="E4" s="2" t="inlineStr">
        <is>
          <t>USD Savings Rate (%)</t>
        </is>
      </c>
      <c r="F4" s="2" t="inlineStr">
        <is>
          <t>KHR Income (Riel)</t>
        </is>
      </c>
      <c r="G4" s="2" t="inlineStr">
        <is>
          <t>KHR Expense (Riel)</t>
        </is>
      </c>
      <c r="H4" s="2" t="inlineStr">
        <is>
          <t>KHR Net Cash Flow (Riel)</t>
        </is>
      </c>
    </row>
    <row r="5">
      <c r="A5" s="0" t="inlineStr">
        <is>
          <t>2026-05</t>
        </is>
      </c>
      <c r="B5" s="3">
        <v>1750.0</v>
      </c>
      <c r="C5" s="3">
        <v>1005.0</v>
      </c>
      <c r="D5" s="3">
        <f>B5-C5</f>
        <v>745.0</v>
      </c>
      <c r="E5" s="0">
        <f>ROUND((D5/B5)*100,0)</f>
        <v>43</v>
      </c>
      <c r="F5" s="3">
        <v>1600000</v>
      </c>
      <c r="G5" s="3">
        <v>1100000</v>
      </c>
      <c r="H5" s="3">
        <f>F5-G5</f>
        <v>500000</v>
      </c>
    </row>
    <row r="6">
      <c r="A6" s="0" t="inlineStr">
        <is>
          <t>2026-06</t>
        </is>
      </c>
      <c r="B6" s="3">
        <v>1900.0</v>
      </c>
      <c r="C6" s="3">
        <v>1062.0</v>
      </c>
      <c r="D6" s="3">
        <f>B6-C6</f>
        <v>838.0</v>
      </c>
      <c r="E6" s="0">
        <f>ROUND((D6/B6)*100,0)</f>
        <v>44</v>
      </c>
      <c r="F6" s="3">
        <v>1600000</v>
      </c>
      <c r="G6" s="3">
        <v>1100000</v>
      </c>
      <c r="H6" s="3">
        <f>F6-G6</f>
        <v>500000</v>
      </c>
    </row>
    <row r="7">
      <c r="A7" s="0" t="inlineStr">
        <is>
          <t>2026-07</t>
        </is>
      </c>
      <c r="B7" s="3">
        <v>1680.0</v>
      </c>
      <c r="C7" s="3">
        <v>1128.0</v>
      </c>
      <c r="D7" s="3">
        <f>B7-C7</f>
        <v>552.0</v>
      </c>
      <c r="E7" s="0">
        <f>ROUND((D7/B7)*100,0)</f>
        <v>33</v>
      </c>
      <c r="F7" s="3">
        <v>1600000</v>
      </c>
      <c r="G7" s="3">
        <v>1100000</v>
      </c>
      <c r="H7" s="3">
        <f>F7-G7</f>
        <v>500000</v>
      </c>
    </row>
    <row r="8">
      <c r="A8" s="0" t="inlineStr">
        <is>
          <t>2026-08</t>
        </is>
      </c>
      <c r="B8" s="3">
        <v>2020.0</v>
      </c>
      <c r="C8" s="3">
        <v>1038.0</v>
      </c>
      <c r="D8" s="3">
        <f>B8-C8</f>
        <v>982.0</v>
      </c>
      <c r="E8" s="0">
        <f>ROUND((D8/B8)*100,0)</f>
        <v>49</v>
      </c>
      <c r="F8" s="3">
        <v>1600000</v>
      </c>
      <c r="G8" s="3">
        <v>1100000</v>
      </c>
      <c r="H8" s="3">
        <f>F8-G8</f>
        <v>500000</v>
      </c>
    </row>
    <row r="9">
      <c r="A9" s="0" t="inlineStr">
        <is>
          <t>2026-09</t>
        </is>
      </c>
      <c r="B9" s="3">
        <v>1850.0</v>
      </c>
      <c r="C9" s="3">
        <v>1089.0</v>
      </c>
      <c r="D9" s="3">
        <f>B9-C9</f>
        <v>761.0</v>
      </c>
      <c r="E9" s="0">
        <f>ROUND((D9/B9)*100,0)</f>
        <v>41</v>
      </c>
      <c r="F9" s="3">
        <v>1600000</v>
      </c>
      <c r="G9" s="3">
        <v>1100000</v>
      </c>
      <c r="H9" s="3">
        <f>F9-G9</f>
        <v>500000</v>
      </c>
    </row>
    <row r="10">
      <c r="A10" s="0" t="inlineStr">
        <is>
          <t>2026-10</t>
        </is>
      </c>
      <c r="B10" s="3">
        <v>1950.0</v>
      </c>
      <c r="C10" s="3">
        <v>1156.0</v>
      </c>
      <c r="D10" s="3">
        <f>B10-C10</f>
        <v>794.0</v>
      </c>
      <c r="E10" s="0">
        <f>ROUND((D10/B10)*100,0)</f>
        <v>41</v>
      </c>
      <c r="F10" s="3">
        <v>1600000</v>
      </c>
      <c r="G10" s="3">
        <v>1100000</v>
      </c>
      <c r="H10" s="3">
        <f>F10-G10</f>
        <v>500000</v>
      </c>
    </row>
    <row r="11">
      <c r="A11" s="4" t="inlineStr">
        <is>
          <t>6-Month Total (SUM)</t>
        </is>
      </c>
      <c r="B11" s="5">
        <f>SUM(B5:B10)</f>
        <v>11150.0</v>
      </c>
      <c r="C11" s="5">
        <f>SUM(C5:C10)</f>
        <v>6478.0</v>
      </c>
      <c r="D11" s="5">
        <f>SUM(D5:D10)</f>
        <v>4672.0</v>
      </c>
      <c r="E11" s="4">
        <f>ROUND((D11/B11)*100,0)</f>
        <v>42</v>
      </c>
      <c r="F11" s="5">
        <f>SUM(F5:F10)</f>
        <v>9600000.0</v>
      </c>
      <c r="G11" s="5">
        <f>SUM(G5:G10)</f>
        <v>6600000.0</v>
      </c>
      <c r="H11" s="5">
        <f>SUM(H5:H10)</f>
        <v>3000000.0</v>
      </c>
    </row>
    <row r="12">
      <c r="A12" s="4" t="inlineStr">
        <is>
          <t>6-Month Monthly Average (AVERAGE)</t>
        </is>
      </c>
      <c r="B12" s="5">
        <f>AVERAGE(B5:B10)</f>
        <v>1858.33</v>
      </c>
      <c r="C12" s="5">
        <f>AVERAGE(C5:C10)</f>
        <v>1079.67</v>
      </c>
      <c r="D12" s="5">
        <f>AVERAGE(D5:D10)</f>
        <v>778.67</v>
      </c>
      <c r="E12" s="4">
        <f>ROUND(AVERAGE(E5:E10),0)</f>
        <v>42</v>
      </c>
      <c r="F12" s="5">
        <f>AVERAGE(F5:F10)</f>
        <v>1600000.0</v>
      </c>
      <c r="G12" s="5">
        <f>AVERAGE(G5:G10)</f>
        <v>1100000.0</v>
      </c>
      <c r="H12" s="5">
        <f>AVERAGE(H5:H10)</f>
        <v>500000.0</v>
      </c>
    </row>
    <row r="13">
      <c r="A13" s="4" t="inlineStr">
        <is>
          <t>Months Evaluated (COUNT)</t>
        </is>
      </c>
      <c r="B13" s="4">
        <f>COUNT(B5:B10)</f>
        <v>6</v>
      </c>
      <c r="C13" s="4">
        <f>COUNT(C5:C10)</f>
        <v>6</v>
      </c>
      <c r="D13" s="4">
        <f>COUNT(D5:D10)</f>
        <v>6</v>
      </c>
      <c r="E13" s="4" t="inlineStr">
        <is>
          <t>6 Months</t>
        </is>
      </c>
      <c r="F13" s="4">
        <f>COUNT(F5:F10)</f>
        <v>6</v>
      </c>
      <c r="G13" s="4">
        <f>COUNT(G5:G10)</f>
        <v>6</v>
      </c>
      <c r="H13" s="4">
        <f>COUNT(H5:H10)</f>
        <v>6</v>
      </c>
    </row>
    <row r="14">
</row>
    <row r="15">
      <c r="A15" s="1" t="inlineStr">
        <is>
          <t>DSS Strategic Benchmarks (Computed via Live Formulas)</t>
        </is>
      </c>
    </row>
    <row r="16">
      <c r="A16" s="2" t="inlineStr">
        <is>
          <t>Benchmark Metric</t>
        </is>
      </c>
      <c r="B16" s="2" t="inlineStr">
        <is>
          <t>Formula Result (USD)</t>
        </is>
      </c>
      <c r="C16" s="2" t="inlineStr">
        <is>
          <t>Managerial Decision Rule</t>
        </is>
      </c>
    </row>
    <row r="17">
      <c r="A17" s="0" t="inlineStr">
        <is>
          <t>3-Month Emergency Reserve Target</t>
        </is>
      </c>
      <c r="B17" s="5">
        <f>C12*3</f>
        <v>3239.0</v>
      </c>
      <c r="C17" s="0" t="inlineStr">
        <is>
          <t>Requires 3x average monthly USD expense ($1,079.67 x 3). Covered by $9,722 liquid balance.</t>
        </is>
      </c>
    </row>
    <row r="18">
      <c r="A18" s="0" t="inlineStr">
        <is>
          <t>50% Net Surplus Term Deposit Allocation</t>
        </is>
      </c>
      <c r="B18" s="5">
        <f>D11*0.5</f>
        <v>2336.0</v>
      </c>
      <c r="C18" s="0" t="inlineStr">
        <is>
          <t>Allocate 50% of 6-month net surplus into a 5.5% APY fixed-term deposit.</t>
        </is>
      </c>
    </row>
    <row r="19">
      <c r="A19" s="0" t="inlineStr">
        <is>
          <t>15% Food &amp; Dining Cost Reduction Target</t>
        </is>
      </c>
      <c r="B19" s="5">
        <f>2165.00*0.15</f>
        <v>324.75</v>
      </c>
      <c r="C19" s="0" t="inlineStr">
        <is>
          <t>Cutting Food &amp; Dining ($2,165) by 15% saves $324.75 per 6 months.</t>
        </is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14" customWidth="1"/>
    <col min="3" max="3" width="12" customWidth="1"/>
    <col min="4" max="4" width="18" customWidth="1"/>
    <col min="5" max="5" width="22" customWidth="1"/>
    <col min="6" max="6" width="22" customWidth="1"/>
    <col min="7" max="7" width="22" customWidth="1"/>
  </cols>
  <sheetData>
    <row r="1">
      <c r="A1" s="1" t="inlineStr">
        <is>
          <t>MIS Part 4: Category Performance Breakdown (USD &amp; KHR)</t>
        </is>
      </c>
    </row>
    <row r="2">
</row>
    <row r="3">
      <c r="A3" s="2" t="inlineStr">
        <is>
          <t>Category Name</t>
        </is>
      </c>
      <c r="B3" s="2" t="inlineStr">
        <is>
          <t>Type</t>
        </is>
      </c>
      <c r="C3" s="2" t="inlineStr">
        <is>
          <t>Currency</t>
        </is>
      </c>
      <c r="D3" s="2" t="inlineStr">
        <is>
          <t>Transaction Count</t>
        </is>
      </c>
      <c r="E3" s="2" t="inlineStr">
        <is>
          <t>6-Month Total Amount</t>
        </is>
      </c>
      <c r="F3" s="2" t="inlineStr">
        <is>
          <t>Average per Transaction</t>
        </is>
      </c>
      <c r="G3" s="2" t="inlineStr">
        <is>
          <t>Share of Type Total (%)</t>
        </is>
      </c>
    </row>
    <row r="4">
      <c r="A4" s="0" t="inlineStr">
        <is>
          <t>Housing &amp; Rent</t>
        </is>
      </c>
      <c r="B4" s="0" t="inlineStr">
        <is>
          <t>Expense</t>
        </is>
      </c>
      <c r="C4" s="0" t="inlineStr">
        <is>
          <t>USD</t>
        </is>
      </c>
      <c r="D4" s="0">
        <v>6</v>
      </c>
      <c r="E4" s="3">
        <v>2700.0</v>
      </c>
      <c r="F4" s="3">
        <f>E4/D4</f>
        <v>450.0</v>
      </c>
      <c r="G4" s="0">
        <f>ROUND((E4/E9)*100,0)</f>
        <v>42</v>
      </c>
    </row>
    <row r="5">
      <c r="A5" s="0" t="inlineStr">
        <is>
          <t>Food &amp; Dining</t>
        </is>
      </c>
      <c r="B5" s="0" t="inlineStr">
        <is>
          <t>Expense</t>
        </is>
      </c>
      <c r="C5" s="0" t="inlineStr">
        <is>
          <t>USD</t>
        </is>
      </c>
      <c r="D5" s="0">
        <v>6</v>
      </c>
      <c r="E5" s="3">
        <v>2165.0</v>
      </c>
      <c r="F5" s="3">
        <f>E5/D5</f>
        <v>360.83</v>
      </c>
      <c r="G5" s="0">
        <f>ROUND((E5/E9)*100,0)</f>
        <v>33</v>
      </c>
    </row>
    <row r="6">
      <c r="A6" s="0" t="inlineStr">
        <is>
          <t>Transport &amp; Fuel</t>
        </is>
      </c>
      <c r="B6" s="0" t="inlineStr">
        <is>
          <t>Expense</t>
        </is>
      </c>
      <c r="C6" s="0" t="inlineStr">
        <is>
          <t>USD</t>
        </is>
      </c>
      <c r="D6" s="0">
        <v>6</v>
      </c>
      <c r="E6" s="3">
        <v>670.0</v>
      </c>
      <c r="F6" s="3">
        <f>E6/D6</f>
        <v>111.67</v>
      </c>
      <c r="G6" s="0">
        <f>ROUND((E6/E9)*100,0)</f>
        <v>10</v>
      </c>
    </row>
    <row r="7">
      <c r="A7" s="0" t="inlineStr">
        <is>
          <t>Utilities &amp; Internet</t>
        </is>
      </c>
      <c r="B7" s="0" t="inlineStr">
        <is>
          <t>Expense</t>
        </is>
      </c>
      <c r="C7" s="0" t="inlineStr">
        <is>
          <t>USD</t>
        </is>
      </c>
      <c r="D7" s="0">
        <v>6</v>
      </c>
      <c r="E7" s="3">
        <v>553.0</v>
      </c>
      <c r="F7" s="3">
        <f>E7/D7</f>
        <v>92.17</v>
      </c>
      <c r="G7" s="0">
        <f>ROUND((E7/E9)*100,0)</f>
        <v>9</v>
      </c>
    </row>
    <row r="8">
      <c r="A8" s="0" t="inlineStr">
        <is>
          <t>Education &amp; Books</t>
        </is>
      </c>
      <c r="B8" s="0" t="inlineStr">
        <is>
          <t>Expense</t>
        </is>
      </c>
      <c r="C8" s="0" t="inlineStr">
        <is>
          <t>USD</t>
        </is>
      </c>
      <c r="D8" s="0">
        <v>6</v>
      </c>
      <c r="E8" s="3">
        <v>390.0</v>
      </c>
      <c r="F8" s="3">
        <f>E8/D8</f>
        <v>65.0</v>
      </c>
      <c r="G8" s="0">
        <f>ROUND((E8/E9)*100,0)</f>
        <v>6</v>
      </c>
    </row>
    <row r="9">
      <c r="A9" s="4" t="inlineStr">
        <is>
          <t>Total USD Expenses (SUM)</t>
        </is>
      </c>
      <c r="B9" s="4" t="inlineStr">
        <is>
          <t>Expense</t>
        </is>
      </c>
      <c r="C9" s="4" t="inlineStr">
        <is>
          <t>USD</t>
        </is>
      </c>
      <c r="D9" s="4">
        <f>SUM(D4:D8)</f>
        <v>30</v>
      </c>
      <c r="E9" s="5">
        <f>SUM(E4:E8)</f>
        <v>6478.0</v>
      </c>
      <c r="F9" s="5">
        <f>AVERAGE(E4:E8)</f>
        <v>1295.6</v>
      </c>
      <c r="G9" s="4">
        <f>SUM(G4:G8)</f>
        <v>100</v>
      </c>
    </row>
    <row r="10">
</row>
    <row r="11">
      <c r="A11" s="0" t="inlineStr">
        <is>
          <t>Monthly Salary</t>
        </is>
      </c>
      <c r="B11" s="0" t="inlineStr">
        <is>
          <t>Income</t>
        </is>
      </c>
      <c r="C11" s="0" t="inlineStr">
        <is>
          <t>USD</t>
        </is>
      </c>
      <c r="D11" s="0">
        <v>6</v>
      </c>
      <c r="E11" s="3">
        <v>9000.0</v>
      </c>
      <c r="F11" s="3">
        <f>E11/D11</f>
        <v>1500.0</v>
      </c>
      <c r="G11" s="0">
        <f>ROUND((E11/E13)*100,0)</f>
        <v>81</v>
      </c>
    </row>
    <row r="12">
      <c r="A12" s="0" t="inlineStr">
        <is>
          <t>Freelance &amp; Consulting</t>
        </is>
      </c>
      <c r="B12" s="0" t="inlineStr">
        <is>
          <t>Income</t>
        </is>
      </c>
      <c r="C12" s="0" t="inlineStr">
        <is>
          <t>USD</t>
        </is>
      </c>
      <c r="D12" s="0">
        <v>6</v>
      </c>
      <c r="E12" s="3">
        <v>2150.0</v>
      </c>
      <c r="F12" s="3">
        <f>E12/D12</f>
        <v>358.33</v>
      </c>
      <c r="G12" s="0">
        <f>ROUND((E12/E13)*100,0)</f>
        <v>19</v>
      </c>
    </row>
    <row r="13">
      <c r="A13" s="4" t="inlineStr">
        <is>
          <t>Total USD Income (SUM)</t>
        </is>
      </c>
      <c r="B13" s="4" t="inlineStr">
        <is>
          <t>Income</t>
        </is>
      </c>
      <c r="C13" s="4" t="inlineStr">
        <is>
          <t>USD</t>
        </is>
      </c>
      <c r="D13" s="4">
        <f>SUM(D11:D12)</f>
        <v>12</v>
      </c>
      <c r="E13" s="5">
        <f>SUM(E11:E12)</f>
        <v>11150.0</v>
      </c>
      <c r="F13" s="5">
        <f>AVERAGE(E11:E12)</f>
        <v>5575.0</v>
      </c>
      <c r="G13" s="4">
        <f>SUM(G11:G12)</f>
        <v>100</v>
      </c>
    </row>
    <row r="14">
</row>
    <row r="15">
      <c r="A15" s="0" t="inlineStr">
        <is>
          <t>Food &amp; Dining (KHR)</t>
        </is>
      </c>
      <c r="B15" s="0" t="inlineStr">
        <is>
          <t>Expense</t>
        </is>
      </c>
      <c r="C15" s="0" t="inlineStr">
        <is>
          <t>KHR</t>
        </is>
      </c>
      <c r="D15" s="0">
        <v>6</v>
      </c>
      <c r="E15" s="3">
        <v>4080000.0</v>
      </c>
      <c r="F15" s="3">
        <f>E15/D15</f>
        <v>680000.0</v>
      </c>
      <c r="G15" s="0">
        <f>ROUND((E15/E18)*100,0)</f>
        <v>62</v>
      </c>
    </row>
    <row r="16">
      <c r="A16" s="0" t="inlineStr">
        <is>
          <t>Transport &amp; Fuel (KHR)</t>
        </is>
      </c>
      <c r="B16" s="0" t="inlineStr">
        <is>
          <t>Expense</t>
        </is>
      </c>
      <c r="C16" s="0" t="inlineStr">
        <is>
          <t>KHR</t>
        </is>
      </c>
      <c r="D16" s="0">
        <v>6</v>
      </c>
      <c r="E16" s="3">
        <v>1440000.0</v>
      </c>
      <c r="F16" s="3">
        <f>E16/D16</f>
        <v>240000.0</v>
      </c>
      <c r="G16" s="0">
        <f>ROUND((E16/E18)*100,0)</f>
        <v>22</v>
      </c>
    </row>
    <row r="17">
      <c r="A17" s="0" t="inlineStr">
        <is>
          <t>Utilities &amp; Internet (KHR)</t>
        </is>
      </c>
      <c r="B17" s="0" t="inlineStr">
        <is>
          <t>Expense</t>
        </is>
      </c>
      <c r="C17" s="0" t="inlineStr">
        <is>
          <t>KHR</t>
        </is>
      </c>
      <c r="D17" s="0">
        <v>6</v>
      </c>
      <c r="E17" s="3">
        <v>1080000.0</v>
      </c>
      <c r="F17" s="3">
        <f>E17/D17</f>
        <v>180000.0</v>
      </c>
      <c r="G17" s="0">
        <f>ROUND((E17/E18)*100,0)</f>
        <v>16</v>
      </c>
    </row>
    <row r="18">
      <c r="A18" s="4" t="inlineStr">
        <is>
          <t>Total KHR Expenses (SUM)</t>
        </is>
      </c>
      <c r="B18" s="4" t="inlineStr">
        <is>
          <t>Expense</t>
        </is>
      </c>
      <c r="C18" s="4" t="inlineStr">
        <is>
          <t>KHR</t>
        </is>
      </c>
      <c r="D18" s="4">
        <f>SUM(D15:D17)</f>
        <v>18</v>
      </c>
      <c r="E18" s="5">
        <f>SUM(E15:E17)</f>
        <v>6600000.0</v>
      </c>
      <c r="F18" s="5">
        <f>AVERAGE(E15:E17)</f>
        <v>2200000.0</v>
      </c>
      <c r="G18" s="4">
        <f>SUM(G15:G17)</f>
        <v>100</v>
      </c>
    </row>
  </sheetData>
</worksheet>
</file>

<file path=xl/worksheets/sheet3.xml><?xml version="1.0" encoding="utf-8"?>
<worksheet xmlns="http://schemas.openxmlformats.org/spreadsheetml/2006/main">
  <cols>
    <col min="1" max="1" width="14" customWidth="1"/>
    <col min="2" max="2" width="12" customWidth="1"/>
    <col min="3" max="3" width="24" customWidth="1"/>
    <col min="4" max="4" width="26" customWidth="1"/>
    <col min="5" max="5" width="16" customWidth="1"/>
    <col min="6" max="6" width="12" customWidth="1"/>
    <col min="7" max="7" width="38" customWidth="1"/>
  </cols>
  <sheetData>
    <row r="1">
      <c r="A1" s="1" t="inlineStr">
        <is>
          <t>MIS Part 4: 6-Month Transaction Processing System (TPS) Ledger (66 Entries)</t>
        </is>
      </c>
    </row>
    <row r="2">
</row>
    <row r="3">
      <c r="A3" s="2" t="inlineStr">
        <is>
          <t>Date</t>
        </is>
      </c>
      <c r="B3" s="2" t="inlineStr">
        <is>
          <t>Type</t>
        </is>
      </c>
      <c r="C3" s="2" t="inlineStr">
        <is>
          <t>Category</t>
        </is>
      </c>
      <c r="D3" s="2" t="inlineStr">
        <is>
          <t>Account</t>
        </is>
      </c>
      <c r="E3" s="2" t="inlineStr">
        <is>
          <t>Amount</t>
        </is>
      </c>
      <c r="F3" s="2" t="inlineStr">
        <is>
          <t>Currency</t>
        </is>
      </c>
      <c r="G3" s="2" t="inlineStr">
        <is>
          <t>Description</t>
        </is>
      </c>
    </row>
    <row r="4">
      <c r="A4" s="0" t="inlineStr">
        <is>
          <t>2026-10-19</t>
        </is>
      </c>
      <c r="B4" s="0" t="inlineStr">
        <is>
          <t>Expense</t>
        </is>
      </c>
      <c r="C4" s="0" t="inlineStr">
        <is>
          <t>Education &amp; Books</t>
        </is>
      </c>
      <c r="D4" s="0" t="inlineStr">
        <is>
          <t>ABA Bank Checking (USD)</t>
        </is>
      </c>
      <c r="E4" s="3">
        <v>65.0</v>
      </c>
      <c r="F4" s="0" t="inlineStr">
        <is>
          <t>USD</t>
        </is>
      </c>
      <c r="G4" s="0" t="inlineStr">
        <is>
          <t>University Course Materials &amp; Cloud Lab</t>
        </is>
      </c>
    </row>
    <row r="5">
      <c r="A5" s="0" t="inlineStr">
        <is>
          <t>2026-10-17</t>
        </is>
      </c>
      <c r="B5" s="0" t="inlineStr">
        <is>
          <t>Expense</t>
        </is>
      </c>
      <c r="C5" s="0" t="inlineStr">
        <is>
          <t>Utilities &amp; Internet</t>
        </is>
      </c>
      <c r="D5" s="0" t="inlineStr">
        <is>
          <t>ABA Bank Checking (USD)</t>
        </is>
      </c>
      <c r="E5" s="3">
        <v>96.0</v>
      </c>
      <c r="F5" s="0" t="inlineStr">
        <is>
          <t>USD</t>
        </is>
      </c>
      <c r="G5" s="0" t="inlineStr">
        <is>
          <t>EDC Electricity &amp; Fiber Internet</t>
        </is>
      </c>
    </row>
    <row r="6">
      <c r="A6" s="0" t="inlineStr">
        <is>
          <t>2026-10-16</t>
        </is>
      </c>
      <c r="B6" s="0" t="inlineStr">
        <is>
          <t>Expense</t>
        </is>
      </c>
      <c r="C6" s="0" t="inlineStr">
        <is>
          <t>Utilities &amp; Internet</t>
        </is>
      </c>
      <c r="D6" s="0" t="inlineStr">
        <is>
          <t>Wing Digital Wallet (KHR)</t>
        </is>
      </c>
      <c r="E6" s="3">
        <v>180000.0</v>
      </c>
      <c r="F6" s="0" t="inlineStr">
        <is>
          <t>KHR</t>
        </is>
      </c>
      <c r="G6" s="0" t="inlineStr">
        <is>
          <t>Mobile Data &amp; Water Utility (KHR)</t>
        </is>
      </c>
    </row>
    <row r="7">
      <c r="A7" s="0" t="inlineStr">
        <is>
          <t>2026-10-15</t>
        </is>
      </c>
      <c r="B7" s="0" t="inlineStr">
        <is>
          <t>Income</t>
        </is>
      </c>
      <c r="C7" s="0" t="inlineStr">
        <is>
          <t>Freelance &amp; Consulting</t>
        </is>
      </c>
      <c r="D7" s="0" t="inlineStr">
        <is>
          <t>ABA Bank Checking (USD)</t>
        </is>
      </c>
      <c r="E7" s="3">
        <v>450.0</v>
      </c>
      <c r="F7" s="0" t="inlineStr">
        <is>
          <t>USD</t>
        </is>
      </c>
      <c r="G7" s="0" t="inlineStr">
        <is>
          <t>MIS System Consulting Milestone</t>
        </is>
      </c>
    </row>
    <row r="8">
      <c r="A8" s="0" t="inlineStr">
        <is>
          <t>2026-10-13</t>
        </is>
      </c>
      <c r="B8" s="0" t="inlineStr">
        <is>
          <t>Expense</t>
        </is>
      </c>
      <c r="C8" s="0" t="inlineStr">
        <is>
          <t>Transport &amp; Fuel</t>
        </is>
      </c>
      <c r="D8" s="0" t="inlineStr">
        <is>
          <t>ABA Bank Checking (USD)</t>
        </is>
      </c>
      <c r="E8" s="3">
        <v>120.0</v>
      </c>
      <c r="F8" s="0" t="inlineStr">
        <is>
          <t>USD</t>
        </is>
      </c>
      <c r="G8" s="0" t="inlineStr">
        <is>
          <t>City Commute &amp; Fuel</t>
        </is>
      </c>
    </row>
    <row r="9">
      <c r="A9" s="0" t="inlineStr">
        <is>
          <t>2026-10-12</t>
        </is>
      </c>
      <c r="B9" s="0" t="inlineStr">
        <is>
          <t>Expense</t>
        </is>
      </c>
      <c r="C9" s="0" t="inlineStr">
        <is>
          <t>Transport &amp; Fuel</t>
        </is>
      </c>
      <c r="D9" s="0" t="inlineStr">
        <is>
          <t>Wing Digital Wallet (KHR)</t>
        </is>
      </c>
      <c r="E9" s="3">
        <v>240000.0</v>
      </c>
      <c r="F9" s="0" t="inlineStr">
        <is>
          <t>KHR</t>
        </is>
      </c>
      <c r="G9" s="0" t="inlineStr">
        <is>
          <t>PassApp &amp; Fuel Top-up (KHR)</t>
        </is>
      </c>
    </row>
    <row r="10">
      <c r="A10" s="0" t="inlineStr">
        <is>
          <t>2026-10-09</t>
        </is>
      </c>
      <c r="B10" s="0" t="inlineStr">
        <is>
          <t>Expense</t>
        </is>
      </c>
      <c r="C10" s="0" t="inlineStr">
        <is>
          <t>Food &amp; Dining</t>
        </is>
      </c>
      <c r="D10" s="0" t="inlineStr">
        <is>
          <t>ABA Bank Checking (USD)</t>
        </is>
      </c>
      <c r="E10" s="3">
        <v>425.0</v>
      </c>
      <c r="F10" s="0" t="inlineStr">
        <is>
          <t>USD</t>
        </is>
      </c>
      <c r="G10" s="0" t="inlineStr">
        <is>
          <t>Supermarket Groceries &amp; Dining</t>
        </is>
      </c>
    </row>
    <row r="11">
      <c r="A11" s="0" t="inlineStr">
        <is>
          <t>2026-10-08</t>
        </is>
      </c>
      <c r="B11" s="0" t="inlineStr">
        <is>
          <t>Expense</t>
        </is>
      </c>
      <c r="C11" s="0" t="inlineStr">
        <is>
          <t>Food &amp; Dining</t>
        </is>
      </c>
      <c r="D11" s="0" t="inlineStr">
        <is>
          <t>Daily Cash Wallet (KHR)</t>
        </is>
      </c>
      <c r="E11" s="3">
        <v>680000.0</v>
      </c>
      <c r="F11" s="0" t="inlineStr">
        <is>
          <t>KHR</t>
        </is>
      </c>
      <c r="G11" s="0" t="inlineStr">
        <is>
          <t>Local Market &amp; Daily Meals (KHR)</t>
        </is>
      </c>
    </row>
    <row r="12">
      <c r="A12" s="0" t="inlineStr">
        <is>
          <t>2026-10-06</t>
        </is>
      </c>
      <c r="B12" s="0" t="inlineStr">
        <is>
          <t>Income</t>
        </is>
      </c>
      <c r="C12" s="0" t="inlineStr">
        <is>
          <t>Freelance &amp; Consulting</t>
        </is>
      </c>
      <c r="D12" s="0" t="inlineStr">
        <is>
          <t>Wing Digital Wallet (KHR)</t>
        </is>
      </c>
      <c r="E12" s="3">
        <v>1600000.0</v>
      </c>
      <c r="F12" s="0" t="inlineStr">
        <is>
          <t>KHR</t>
        </is>
      </c>
      <c r="G12" s="0" t="inlineStr">
        <is>
          <t>Local Client Retainer (KHR)</t>
        </is>
      </c>
    </row>
    <row r="13">
      <c r="A13" s="0" t="inlineStr">
        <is>
          <t>2026-10-04</t>
        </is>
      </c>
      <c r="B13" s="0" t="inlineStr">
        <is>
          <t>Expense</t>
        </is>
      </c>
      <c r="C13" s="0" t="inlineStr">
        <is>
          <t>Housing &amp; Rent</t>
        </is>
      </c>
      <c r="D13" s="0" t="inlineStr">
        <is>
          <t>ABA Bank Checking (USD)</t>
        </is>
      </c>
      <c r="E13" s="3">
        <v>450.0</v>
      </c>
      <c r="F13" s="0" t="inlineStr">
        <is>
          <t>USD</t>
        </is>
      </c>
      <c r="G13" s="0" t="inlineStr">
        <is>
          <t>Apartment Rent - Phnom Penh</t>
        </is>
      </c>
    </row>
    <row r="14">
      <c r="A14" s="0" t="inlineStr">
        <is>
          <t>2026-10-02</t>
        </is>
      </c>
      <c r="B14" s="0" t="inlineStr">
        <is>
          <t>Income</t>
        </is>
      </c>
      <c r="C14" s="0" t="inlineStr">
        <is>
          <t>Monthly Salary</t>
        </is>
      </c>
      <c r="D14" s="0" t="inlineStr">
        <is>
          <t>ABA Bank Checking (USD)</t>
        </is>
      </c>
      <c r="E14" s="3">
        <v>1500.0</v>
      </c>
      <c r="F14" s="0" t="inlineStr">
        <is>
          <t>USD</t>
        </is>
      </c>
      <c r="G14" s="0" t="inlineStr">
        <is>
          <t>Monthly Tech Payroll Deposit</t>
        </is>
      </c>
    </row>
    <row r="15">
      <c r="A15" s="0" t="inlineStr">
        <is>
          <t>2026-09-19</t>
        </is>
      </c>
      <c r="B15" s="0" t="inlineStr">
        <is>
          <t>Expense</t>
        </is>
      </c>
      <c r="C15" s="0" t="inlineStr">
        <is>
          <t>Education &amp; Books</t>
        </is>
      </c>
      <c r="D15" s="0" t="inlineStr">
        <is>
          <t>ABA Bank Checking (USD)</t>
        </is>
      </c>
      <c r="E15" s="3">
        <v>65.0</v>
      </c>
      <c r="F15" s="0" t="inlineStr">
        <is>
          <t>USD</t>
        </is>
      </c>
      <c r="G15" s="0" t="inlineStr">
        <is>
          <t>University Course Materials &amp; Cloud Lab</t>
        </is>
      </c>
    </row>
    <row r="16">
      <c r="A16" s="0" t="inlineStr">
        <is>
          <t>2026-09-17</t>
        </is>
      </c>
      <c r="B16" s="0" t="inlineStr">
        <is>
          <t>Expense</t>
        </is>
      </c>
      <c r="C16" s="0" t="inlineStr">
        <is>
          <t>Utilities &amp; Internet</t>
        </is>
      </c>
      <c r="D16" s="0" t="inlineStr">
        <is>
          <t>ABA Bank Checking (USD)</t>
        </is>
      </c>
      <c r="E16" s="3">
        <v>94.0</v>
      </c>
      <c r="F16" s="0" t="inlineStr">
        <is>
          <t>USD</t>
        </is>
      </c>
      <c r="G16" s="0" t="inlineStr">
        <is>
          <t>EDC Electricity &amp; Fiber Internet</t>
        </is>
      </c>
    </row>
    <row r="17">
      <c r="A17" s="0" t="inlineStr">
        <is>
          <t>2026-09-16</t>
        </is>
      </c>
      <c r="B17" s="0" t="inlineStr">
        <is>
          <t>Expense</t>
        </is>
      </c>
      <c r="C17" s="0" t="inlineStr">
        <is>
          <t>Utilities &amp; Internet</t>
        </is>
      </c>
      <c r="D17" s="0" t="inlineStr">
        <is>
          <t>Wing Digital Wallet (KHR)</t>
        </is>
      </c>
      <c r="E17" s="3">
        <v>180000.0</v>
      </c>
      <c r="F17" s="0" t="inlineStr">
        <is>
          <t>KHR</t>
        </is>
      </c>
      <c r="G17" s="0" t="inlineStr">
        <is>
          <t>Mobile Data &amp; Water Utility (KHR)</t>
        </is>
      </c>
    </row>
    <row r="18">
      <c r="A18" s="0" t="inlineStr">
        <is>
          <t>2026-09-15</t>
        </is>
      </c>
      <c r="B18" s="0" t="inlineStr">
        <is>
          <t>Income</t>
        </is>
      </c>
      <c r="C18" s="0" t="inlineStr">
        <is>
          <t>Freelance &amp; Consulting</t>
        </is>
      </c>
      <c r="D18" s="0" t="inlineStr">
        <is>
          <t>ABA Bank Checking (USD)</t>
        </is>
      </c>
      <c r="E18" s="3">
        <v>350.0</v>
      </c>
      <c r="F18" s="0" t="inlineStr">
        <is>
          <t>USD</t>
        </is>
      </c>
      <c r="G18" s="0" t="inlineStr">
        <is>
          <t>MIS System Consulting Milestone</t>
        </is>
      </c>
    </row>
    <row r="19">
      <c r="A19" s="0" t="inlineStr">
        <is>
          <t>2026-09-13</t>
        </is>
      </c>
      <c r="B19" s="0" t="inlineStr">
        <is>
          <t>Expense</t>
        </is>
      </c>
      <c r="C19" s="0" t="inlineStr">
        <is>
          <t>Transport &amp; Fuel</t>
        </is>
      </c>
      <c r="D19" s="0" t="inlineStr">
        <is>
          <t>ABA Bank Checking (USD)</t>
        </is>
      </c>
      <c r="E19" s="3">
        <v>115.0</v>
      </c>
      <c r="F19" s="0" t="inlineStr">
        <is>
          <t>USD</t>
        </is>
      </c>
      <c r="G19" s="0" t="inlineStr">
        <is>
          <t>City Commute &amp; Fuel</t>
        </is>
      </c>
    </row>
    <row r="20">
      <c r="A20" s="0" t="inlineStr">
        <is>
          <t>2026-09-12</t>
        </is>
      </c>
      <c r="B20" s="0" t="inlineStr">
        <is>
          <t>Expense</t>
        </is>
      </c>
      <c r="C20" s="0" t="inlineStr">
        <is>
          <t>Transport &amp; Fuel</t>
        </is>
      </c>
      <c r="D20" s="0" t="inlineStr">
        <is>
          <t>Wing Digital Wallet (KHR)</t>
        </is>
      </c>
      <c r="E20" s="3">
        <v>240000.0</v>
      </c>
      <c r="F20" s="0" t="inlineStr">
        <is>
          <t>KHR</t>
        </is>
      </c>
      <c r="G20" s="0" t="inlineStr">
        <is>
          <t>PassApp &amp; Fuel Top-up (KHR)</t>
        </is>
      </c>
    </row>
    <row r="21">
      <c r="A21" s="0" t="inlineStr">
        <is>
          <t>2026-09-09</t>
        </is>
      </c>
      <c r="B21" s="0" t="inlineStr">
        <is>
          <t>Expense</t>
        </is>
      </c>
      <c r="C21" s="0" t="inlineStr">
        <is>
          <t>Food &amp; Dining</t>
        </is>
      </c>
      <c r="D21" s="0" t="inlineStr">
        <is>
          <t>ABA Bank Checking (USD)</t>
        </is>
      </c>
      <c r="E21" s="3">
        <v>365.0</v>
      </c>
      <c r="F21" s="0" t="inlineStr">
        <is>
          <t>USD</t>
        </is>
      </c>
      <c r="G21" s="0" t="inlineStr">
        <is>
          <t>Supermarket Groceries &amp; Dining</t>
        </is>
      </c>
    </row>
    <row r="22">
      <c r="A22" s="0" t="inlineStr">
        <is>
          <t>2026-09-08</t>
        </is>
      </c>
      <c r="B22" s="0" t="inlineStr">
        <is>
          <t>Expense</t>
        </is>
      </c>
      <c r="C22" s="0" t="inlineStr">
        <is>
          <t>Food &amp; Dining</t>
        </is>
      </c>
      <c r="D22" s="0" t="inlineStr">
        <is>
          <t>Daily Cash Wallet (KHR)</t>
        </is>
      </c>
      <c r="E22" s="3">
        <v>680000.0</v>
      </c>
      <c r="F22" s="0" t="inlineStr">
        <is>
          <t>KHR</t>
        </is>
      </c>
      <c r="G22" s="0" t="inlineStr">
        <is>
          <t>Local Market &amp; Daily Meals (KHR)</t>
        </is>
      </c>
    </row>
    <row r="23">
      <c r="A23" s="0" t="inlineStr">
        <is>
          <t>2026-09-06</t>
        </is>
      </c>
      <c r="B23" s="0" t="inlineStr">
        <is>
          <t>Income</t>
        </is>
      </c>
      <c r="C23" s="0" t="inlineStr">
        <is>
          <t>Freelance &amp; Consulting</t>
        </is>
      </c>
      <c r="D23" s="0" t="inlineStr">
        <is>
          <t>Wing Digital Wallet (KHR)</t>
        </is>
      </c>
      <c r="E23" s="3">
        <v>1600000.0</v>
      </c>
      <c r="F23" s="0" t="inlineStr">
        <is>
          <t>KHR</t>
        </is>
      </c>
      <c r="G23" s="0" t="inlineStr">
        <is>
          <t>Local Client Retainer (KHR)</t>
        </is>
      </c>
    </row>
    <row r="24">
      <c r="A24" s="0" t="inlineStr">
        <is>
          <t>2026-09-04</t>
        </is>
      </c>
      <c r="B24" s="0" t="inlineStr">
        <is>
          <t>Expense</t>
        </is>
      </c>
      <c r="C24" s="0" t="inlineStr">
        <is>
          <t>Housing &amp; Rent</t>
        </is>
      </c>
      <c r="D24" s="0" t="inlineStr">
        <is>
          <t>ABA Bank Checking (USD)</t>
        </is>
      </c>
      <c r="E24" s="3">
        <v>450.0</v>
      </c>
      <c r="F24" s="0" t="inlineStr">
        <is>
          <t>USD</t>
        </is>
      </c>
      <c r="G24" s="0" t="inlineStr">
        <is>
          <t>Apartment Rent - Phnom Penh</t>
        </is>
      </c>
    </row>
    <row r="25">
      <c r="A25" s="0" t="inlineStr">
        <is>
          <t>2026-09-02</t>
        </is>
      </c>
      <c r="B25" s="0" t="inlineStr">
        <is>
          <t>Income</t>
        </is>
      </c>
      <c r="C25" s="0" t="inlineStr">
        <is>
          <t>Monthly Salary</t>
        </is>
      </c>
      <c r="D25" s="0" t="inlineStr">
        <is>
          <t>ABA Bank Checking (USD)</t>
        </is>
      </c>
      <c r="E25" s="3">
        <v>1500.0</v>
      </c>
      <c r="F25" s="0" t="inlineStr">
        <is>
          <t>USD</t>
        </is>
      </c>
      <c r="G25" s="0" t="inlineStr">
        <is>
          <t>Monthly Tech Payroll Deposit</t>
        </is>
      </c>
    </row>
    <row r="26">
      <c r="A26" s="0" t="inlineStr">
        <is>
          <t>2026-08-19</t>
        </is>
      </c>
      <c r="B26" s="0" t="inlineStr">
        <is>
          <t>Expense</t>
        </is>
      </c>
      <c r="C26" s="0" t="inlineStr">
        <is>
          <t>Education &amp; Books</t>
        </is>
      </c>
      <c r="D26" s="0" t="inlineStr">
        <is>
          <t>ABA Bank Checking (USD)</t>
        </is>
      </c>
      <c r="E26" s="3">
        <v>65.0</v>
      </c>
      <c r="F26" s="0" t="inlineStr">
        <is>
          <t>USD</t>
        </is>
      </c>
      <c r="G26" s="0" t="inlineStr">
        <is>
          <t>University Course Materials &amp; Cloud Lab</t>
        </is>
      </c>
    </row>
    <row r="27">
      <c r="A27" s="0" t="inlineStr">
        <is>
          <t>2026-08-17</t>
        </is>
      </c>
      <c r="B27" s="0" t="inlineStr">
        <is>
          <t>Expense</t>
        </is>
      </c>
      <c r="C27" s="0" t="inlineStr">
        <is>
          <t>Utilities &amp; Internet</t>
        </is>
      </c>
      <c r="D27" s="0" t="inlineStr">
        <is>
          <t>ABA Bank Checking (USD)</t>
        </is>
      </c>
      <c r="E27" s="3">
        <v>88.0</v>
      </c>
      <c r="F27" s="0" t="inlineStr">
        <is>
          <t>USD</t>
        </is>
      </c>
      <c r="G27" s="0" t="inlineStr">
        <is>
          <t>EDC Electricity &amp; Fiber Internet</t>
        </is>
      </c>
    </row>
    <row r="28">
      <c r="A28" s="0" t="inlineStr">
        <is>
          <t>2026-08-16</t>
        </is>
      </c>
      <c r="B28" s="0" t="inlineStr">
        <is>
          <t>Expense</t>
        </is>
      </c>
      <c r="C28" s="0" t="inlineStr">
        <is>
          <t>Utilities &amp; Internet</t>
        </is>
      </c>
      <c r="D28" s="0" t="inlineStr">
        <is>
          <t>Wing Digital Wallet (KHR)</t>
        </is>
      </c>
      <c r="E28" s="3">
        <v>180000.0</v>
      </c>
      <c r="F28" s="0" t="inlineStr">
        <is>
          <t>KHR</t>
        </is>
      </c>
      <c r="G28" s="0" t="inlineStr">
        <is>
          <t>Mobile Data &amp; Water Utility (KHR)</t>
        </is>
      </c>
    </row>
    <row r="29">
      <c r="A29" s="0" t="inlineStr">
        <is>
          <t>2026-08-15</t>
        </is>
      </c>
      <c r="B29" s="0" t="inlineStr">
        <is>
          <t>Income</t>
        </is>
      </c>
      <c r="C29" s="0" t="inlineStr">
        <is>
          <t>Freelance &amp; Consulting</t>
        </is>
      </c>
      <c r="D29" s="0" t="inlineStr">
        <is>
          <t>ABA Bank Checking (USD)</t>
        </is>
      </c>
      <c r="E29" s="3">
        <v>520.0</v>
      </c>
      <c r="F29" s="0" t="inlineStr">
        <is>
          <t>USD</t>
        </is>
      </c>
      <c r="G29" s="0" t="inlineStr">
        <is>
          <t>MIS System Consulting Milestone</t>
        </is>
      </c>
    </row>
    <row r="30">
      <c r="A30" s="0" t="inlineStr">
        <is>
          <t>2026-08-13</t>
        </is>
      </c>
      <c r="B30" s="0" t="inlineStr">
        <is>
          <t>Expense</t>
        </is>
      </c>
      <c r="C30" s="0" t="inlineStr">
        <is>
          <t>Transport &amp; Fuel</t>
        </is>
      </c>
      <c r="D30" s="0" t="inlineStr">
        <is>
          <t>ABA Bank Checking (USD)</t>
        </is>
      </c>
      <c r="E30" s="3">
        <v>105.0</v>
      </c>
      <c r="F30" s="0" t="inlineStr">
        <is>
          <t>USD</t>
        </is>
      </c>
      <c r="G30" s="0" t="inlineStr">
        <is>
          <t>City Commute &amp; Fuel</t>
        </is>
      </c>
    </row>
    <row r="31">
      <c r="A31" s="0" t="inlineStr">
        <is>
          <t>2026-08-12</t>
        </is>
      </c>
      <c r="B31" s="0" t="inlineStr">
        <is>
          <t>Expense</t>
        </is>
      </c>
      <c r="C31" s="0" t="inlineStr">
        <is>
          <t>Transport &amp; Fuel</t>
        </is>
      </c>
      <c r="D31" s="0" t="inlineStr">
        <is>
          <t>Wing Digital Wallet (KHR)</t>
        </is>
      </c>
      <c r="E31" s="3">
        <v>240000.0</v>
      </c>
      <c r="F31" s="0" t="inlineStr">
        <is>
          <t>KHR</t>
        </is>
      </c>
      <c r="G31" s="0" t="inlineStr">
        <is>
          <t>PassApp &amp; Fuel Top-up (KHR)</t>
        </is>
      </c>
    </row>
    <row r="32">
      <c r="A32" s="0" t="inlineStr">
        <is>
          <t>2026-08-09</t>
        </is>
      </c>
      <c r="B32" s="0" t="inlineStr">
        <is>
          <t>Expense</t>
        </is>
      </c>
      <c r="C32" s="0" t="inlineStr">
        <is>
          <t>Food &amp; Dining</t>
        </is>
      </c>
      <c r="D32" s="0" t="inlineStr">
        <is>
          <t>ABA Bank Checking (USD)</t>
        </is>
      </c>
      <c r="E32" s="3">
        <v>330.0</v>
      </c>
      <c r="F32" s="0" t="inlineStr">
        <is>
          <t>USD</t>
        </is>
      </c>
      <c r="G32" s="0" t="inlineStr">
        <is>
          <t>Supermarket Groceries &amp; Dining</t>
        </is>
      </c>
    </row>
    <row r="33">
      <c r="A33" s="0" t="inlineStr">
        <is>
          <t>2026-08-08</t>
        </is>
      </c>
      <c r="B33" s="0" t="inlineStr">
        <is>
          <t>Expense</t>
        </is>
      </c>
      <c r="C33" s="0" t="inlineStr">
        <is>
          <t>Food &amp; Dining</t>
        </is>
      </c>
      <c r="D33" s="0" t="inlineStr">
        <is>
          <t>Daily Cash Wallet (KHR)</t>
        </is>
      </c>
      <c r="E33" s="3">
        <v>680000.0</v>
      </c>
      <c r="F33" s="0" t="inlineStr">
        <is>
          <t>KHR</t>
        </is>
      </c>
      <c r="G33" s="0" t="inlineStr">
        <is>
          <t>Local Market &amp; Daily Meals (KHR)</t>
        </is>
      </c>
    </row>
    <row r="34">
      <c r="A34" s="0" t="inlineStr">
        <is>
          <t>2026-08-06</t>
        </is>
      </c>
      <c r="B34" s="0" t="inlineStr">
        <is>
          <t>Income</t>
        </is>
      </c>
      <c r="C34" s="0" t="inlineStr">
        <is>
          <t>Freelance &amp; Consulting</t>
        </is>
      </c>
      <c r="D34" s="0" t="inlineStr">
        <is>
          <t>Wing Digital Wallet (KHR)</t>
        </is>
      </c>
      <c r="E34" s="3">
        <v>1600000.0</v>
      </c>
      <c r="F34" s="0" t="inlineStr">
        <is>
          <t>KHR</t>
        </is>
      </c>
      <c r="G34" s="0" t="inlineStr">
        <is>
          <t>Local Client Retainer (KHR)</t>
        </is>
      </c>
    </row>
    <row r="35">
      <c r="A35" s="0" t="inlineStr">
        <is>
          <t>2026-08-04</t>
        </is>
      </c>
      <c r="B35" s="0" t="inlineStr">
        <is>
          <t>Expense</t>
        </is>
      </c>
      <c r="C35" s="0" t="inlineStr">
        <is>
          <t>Housing &amp; Rent</t>
        </is>
      </c>
      <c r="D35" s="0" t="inlineStr">
        <is>
          <t>ABA Bank Checking (USD)</t>
        </is>
      </c>
      <c r="E35" s="3">
        <v>450.0</v>
      </c>
      <c r="F35" s="0" t="inlineStr">
        <is>
          <t>USD</t>
        </is>
      </c>
      <c r="G35" s="0" t="inlineStr">
        <is>
          <t>Apartment Rent - Phnom Penh</t>
        </is>
      </c>
    </row>
    <row r="36">
      <c r="A36" s="0" t="inlineStr">
        <is>
          <t>2026-08-02</t>
        </is>
      </c>
      <c r="B36" s="0" t="inlineStr">
        <is>
          <t>Income</t>
        </is>
      </c>
      <c r="C36" s="0" t="inlineStr">
        <is>
          <t>Monthly Salary</t>
        </is>
      </c>
      <c r="D36" s="0" t="inlineStr">
        <is>
          <t>ABA Bank Checking (USD)</t>
        </is>
      </c>
      <c r="E36" s="3">
        <v>1500.0</v>
      </c>
      <c r="F36" s="0" t="inlineStr">
        <is>
          <t>USD</t>
        </is>
      </c>
      <c r="G36" s="0" t="inlineStr">
        <is>
          <t>Monthly Tech Payroll Deposit</t>
        </is>
      </c>
    </row>
    <row r="37">
      <c r="A37" s="0" t="inlineStr">
        <is>
          <t>2026-07-19</t>
        </is>
      </c>
      <c r="B37" s="0" t="inlineStr">
        <is>
          <t>Expense</t>
        </is>
      </c>
      <c r="C37" s="0" t="inlineStr">
        <is>
          <t>Education &amp; Books</t>
        </is>
      </c>
      <c r="D37" s="0" t="inlineStr">
        <is>
          <t>ABA Bank Checking (USD)</t>
        </is>
      </c>
      <c r="E37" s="3">
        <v>65.0</v>
      </c>
      <c r="F37" s="0" t="inlineStr">
        <is>
          <t>USD</t>
        </is>
      </c>
      <c r="G37" s="0" t="inlineStr">
        <is>
          <t>University Course Materials &amp; Cloud Lab</t>
        </is>
      </c>
    </row>
    <row r="38">
      <c r="A38" s="0" t="inlineStr">
        <is>
          <t>2026-07-17</t>
        </is>
      </c>
      <c r="B38" s="0" t="inlineStr">
        <is>
          <t>Expense</t>
        </is>
      </c>
      <c r="C38" s="0" t="inlineStr">
        <is>
          <t>Utilities &amp; Internet</t>
        </is>
      </c>
      <c r="D38" s="0" t="inlineStr">
        <is>
          <t>ABA Bank Checking (USD)</t>
        </is>
      </c>
      <c r="E38" s="3">
        <v>98.0</v>
      </c>
      <c r="F38" s="0" t="inlineStr">
        <is>
          <t>USD</t>
        </is>
      </c>
      <c r="G38" s="0" t="inlineStr">
        <is>
          <t>EDC Electricity &amp; Fiber Internet</t>
        </is>
      </c>
    </row>
    <row r="39">
      <c r="A39" s="0" t="inlineStr">
        <is>
          <t>2026-07-16</t>
        </is>
      </c>
      <c r="B39" s="0" t="inlineStr">
        <is>
          <t>Expense</t>
        </is>
      </c>
      <c r="C39" s="0" t="inlineStr">
        <is>
          <t>Utilities &amp; Internet</t>
        </is>
      </c>
      <c r="D39" s="0" t="inlineStr">
        <is>
          <t>Wing Digital Wallet (KHR)</t>
        </is>
      </c>
      <c r="E39" s="3">
        <v>180000.0</v>
      </c>
      <c r="F39" s="0" t="inlineStr">
        <is>
          <t>KHR</t>
        </is>
      </c>
      <c r="G39" s="0" t="inlineStr">
        <is>
          <t>Mobile Data &amp; Water Utility (KHR)</t>
        </is>
      </c>
    </row>
    <row r="40">
      <c r="A40" s="0" t="inlineStr">
        <is>
          <t>2026-07-15</t>
        </is>
      </c>
      <c r="B40" s="0" t="inlineStr">
        <is>
          <t>Income</t>
        </is>
      </c>
      <c r="C40" s="0" t="inlineStr">
        <is>
          <t>Freelance &amp; Consulting</t>
        </is>
      </c>
      <c r="D40" s="0" t="inlineStr">
        <is>
          <t>ABA Bank Checking (USD)</t>
        </is>
      </c>
      <c r="E40" s="3">
        <v>180.0</v>
      </c>
      <c r="F40" s="0" t="inlineStr">
        <is>
          <t>USD</t>
        </is>
      </c>
      <c r="G40" s="0" t="inlineStr">
        <is>
          <t>MIS System Consulting Milestone</t>
        </is>
      </c>
    </row>
    <row r="41">
      <c r="A41" s="0" t="inlineStr">
        <is>
          <t>2026-07-13</t>
        </is>
      </c>
      <c r="B41" s="0" t="inlineStr">
        <is>
          <t>Expense</t>
        </is>
      </c>
      <c r="C41" s="0" t="inlineStr">
        <is>
          <t>Transport &amp; Fuel</t>
        </is>
      </c>
      <c r="D41" s="0" t="inlineStr">
        <is>
          <t>ABA Bank Checking (USD)</t>
        </is>
      </c>
      <c r="E41" s="3">
        <v>125.0</v>
      </c>
      <c r="F41" s="0" t="inlineStr">
        <is>
          <t>USD</t>
        </is>
      </c>
      <c r="G41" s="0" t="inlineStr">
        <is>
          <t>City Commute &amp; Fuel</t>
        </is>
      </c>
    </row>
    <row r="42">
      <c r="A42" s="0" t="inlineStr">
        <is>
          <t>2026-07-12</t>
        </is>
      </c>
      <c r="B42" s="0" t="inlineStr">
        <is>
          <t>Expense</t>
        </is>
      </c>
      <c r="C42" s="0" t="inlineStr">
        <is>
          <t>Transport &amp; Fuel</t>
        </is>
      </c>
      <c r="D42" s="0" t="inlineStr">
        <is>
          <t>Wing Digital Wallet (KHR)</t>
        </is>
      </c>
      <c r="E42" s="3">
        <v>240000.0</v>
      </c>
      <c r="F42" s="0" t="inlineStr">
        <is>
          <t>KHR</t>
        </is>
      </c>
      <c r="G42" s="0" t="inlineStr">
        <is>
          <t>PassApp &amp; Fuel Top-up (KHR)</t>
        </is>
      </c>
    </row>
    <row r="43">
      <c r="A43" s="0" t="inlineStr">
        <is>
          <t>2026-07-09</t>
        </is>
      </c>
      <c r="B43" s="0" t="inlineStr">
        <is>
          <t>Expense</t>
        </is>
      </c>
      <c r="C43" s="0" t="inlineStr">
        <is>
          <t>Food &amp; Dining</t>
        </is>
      </c>
      <c r="D43" s="0" t="inlineStr">
        <is>
          <t>ABA Bank Checking (USD)</t>
        </is>
      </c>
      <c r="E43" s="3">
        <v>390.0</v>
      </c>
      <c r="F43" s="0" t="inlineStr">
        <is>
          <t>USD</t>
        </is>
      </c>
      <c r="G43" s="0" t="inlineStr">
        <is>
          <t>Supermarket Groceries &amp; Dining</t>
        </is>
      </c>
    </row>
    <row r="44">
      <c r="A44" s="0" t="inlineStr">
        <is>
          <t>2026-07-08</t>
        </is>
      </c>
      <c r="B44" s="0" t="inlineStr">
        <is>
          <t>Expense</t>
        </is>
      </c>
      <c r="C44" s="0" t="inlineStr">
        <is>
          <t>Food &amp; Dining</t>
        </is>
      </c>
      <c r="D44" s="0" t="inlineStr">
        <is>
          <t>Daily Cash Wallet (KHR)</t>
        </is>
      </c>
      <c r="E44" s="3">
        <v>680000.0</v>
      </c>
      <c r="F44" s="0" t="inlineStr">
        <is>
          <t>KHR</t>
        </is>
      </c>
      <c r="G44" s="0" t="inlineStr">
        <is>
          <t>Local Market &amp; Daily Meals (KHR)</t>
        </is>
      </c>
    </row>
    <row r="45">
      <c r="A45" s="0" t="inlineStr">
        <is>
          <t>2026-07-06</t>
        </is>
      </c>
      <c r="B45" s="0" t="inlineStr">
        <is>
          <t>Income</t>
        </is>
      </c>
      <c r="C45" s="0" t="inlineStr">
        <is>
          <t>Freelance &amp; Consulting</t>
        </is>
      </c>
      <c r="D45" s="0" t="inlineStr">
        <is>
          <t>Wing Digital Wallet (KHR)</t>
        </is>
      </c>
      <c r="E45" s="3">
        <v>1600000.0</v>
      </c>
      <c r="F45" s="0" t="inlineStr">
        <is>
          <t>KHR</t>
        </is>
      </c>
      <c r="G45" s="0" t="inlineStr">
        <is>
          <t>Local Client Retainer (KHR)</t>
        </is>
      </c>
    </row>
    <row r="46">
      <c r="A46" s="0" t="inlineStr">
        <is>
          <t>2026-07-04</t>
        </is>
      </c>
      <c r="B46" s="0" t="inlineStr">
        <is>
          <t>Expense</t>
        </is>
      </c>
      <c r="C46" s="0" t="inlineStr">
        <is>
          <t>Housing &amp; Rent</t>
        </is>
      </c>
      <c r="D46" s="0" t="inlineStr">
        <is>
          <t>ABA Bank Checking (USD)</t>
        </is>
      </c>
      <c r="E46" s="3">
        <v>450.0</v>
      </c>
      <c r="F46" s="0" t="inlineStr">
        <is>
          <t>USD</t>
        </is>
      </c>
      <c r="G46" s="0" t="inlineStr">
        <is>
          <t>Apartment Rent - Phnom Penh</t>
        </is>
      </c>
    </row>
    <row r="47">
      <c r="A47" s="0" t="inlineStr">
        <is>
          <t>2026-07-02</t>
        </is>
      </c>
      <c r="B47" s="0" t="inlineStr">
        <is>
          <t>Income</t>
        </is>
      </c>
      <c r="C47" s="0" t="inlineStr">
        <is>
          <t>Monthly Salary</t>
        </is>
      </c>
      <c r="D47" s="0" t="inlineStr">
        <is>
          <t>ABA Bank Checking (USD)</t>
        </is>
      </c>
      <c r="E47" s="3">
        <v>1500.0</v>
      </c>
      <c r="F47" s="0" t="inlineStr">
        <is>
          <t>USD</t>
        </is>
      </c>
      <c r="G47" s="0" t="inlineStr">
        <is>
          <t>Monthly Tech Payroll Deposit</t>
        </is>
      </c>
    </row>
    <row r="48">
      <c r="A48" s="0" t="inlineStr">
        <is>
          <t>2026-06-19</t>
        </is>
      </c>
      <c r="B48" s="0" t="inlineStr">
        <is>
          <t>Expense</t>
        </is>
      </c>
      <c r="C48" s="0" t="inlineStr">
        <is>
          <t>Education &amp; Books</t>
        </is>
      </c>
      <c r="D48" s="0" t="inlineStr">
        <is>
          <t>ABA Bank Checking (USD)</t>
        </is>
      </c>
      <c r="E48" s="3">
        <v>65.0</v>
      </c>
      <c r="F48" s="0" t="inlineStr">
        <is>
          <t>USD</t>
        </is>
      </c>
      <c r="G48" s="0" t="inlineStr">
        <is>
          <t>University Course Materials &amp; Cloud Lab</t>
        </is>
      </c>
    </row>
    <row r="49">
      <c r="A49" s="0" t="inlineStr">
        <is>
          <t>2026-06-17</t>
        </is>
      </c>
      <c r="B49" s="0" t="inlineStr">
        <is>
          <t>Expense</t>
        </is>
      </c>
      <c r="C49" s="0" t="inlineStr">
        <is>
          <t>Utilities &amp; Internet</t>
        </is>
      </c>
      <c r="D49" s="0" t="inlineStr">
        <is>
          <t>ABA Bank Checking (USD)</t>
        </is>
      </c>
      <c r="E49" s="3">
        <v>92.0</v>
      </c>
      <c r="F49" s="0" t="inlineStr">
        <is>
          <t>USD</t>
        </is>
      </c>
      <c r="G49" s="0" t="inlineStr">
        <is>
          <t>EDC Electricity &amp; Fiber Internet</t>
        </is>
      </c>
    </row>
    <row r="50">
      <c r="A50" s="0" t="inlineStr">
        <is>
          <t>2026-06-16</t>
        </is>
      </c>
      <c r="B50" s="0" t="inlineStr">
        <is>
          <t>Expense</t>
        </is>
      </c>
      <c r="C50" s="0" t="inlineStr">
        <is>
          <t>Utilities &amp; Internet</t>
        </is>
      </c>
      <c r="D50" s="0" t="inlineStr">
        <is>
          <t>Wing Digital Wallet (KHR)</t>
        </is>
      </c>
      <c r="E50" s="3">
        <v>180000.0</v>
      </c>
      <c r="F50" s="0" t="inlineStr">
        <is>
          <t>KHR</t>
        </is>
      </c>
      <c r="G50" s="0" t="inlineStr">
        <is>
          <t>Mobile Data &amp; Water Utility (KHR)</t>
        </is>
      </c>
    </row>
    <row r="51">
      <c r="A51" s="0" t="inlineStr">
        <is>
          <t>2026-06-15</t>
        </is>
      </c>
      <c r="B51" s="0" t="inlineStr">
        <is>
          <t>Income</t>
        </is>
      </c>
      <c r="C51" s="0" t="inlineStr">
        <is>
          <t>Freelance &amp; Consulting</t>
        </is>
      </c>
      <c r="D51" s="0" t="inlineStr">
        <is>
          <t>ABA Bank Checking (USD)</t>
        </is>
      </c>
      <c r="E51" s="3">
        <v>400.0</v>
      </c>
      <c r="F51" s="0" t="inlineStr">
        <is>
          <t>USD</t>
        </is>
      </c>
      <c r="G51" s="0" t="inlineStr">
        <is>
          <t>MIS System Consulting Milestone</t>
        </is>
      </c>
    </row>
    <row r="52">
      <c r="A52" s="0" t="inlineStr">
        <is>
          <t>2026-06-13</t>
        </is>
      </c>
      <c r="B52" s="0" t="inlineStr">
        <is>
          <t>Expense</t>
        </is>
      </c>
      <c r="C52" s="0" t="inlineStr">
        <is>
          <t>Transport &amp; Fuel</t>
        </is>
      </c>
      <c r="D52" s="0" t="inlineStr">
        <is>
          <t>ABA Bank Checking (USD)</t>
        </is>
      </c>
      <c r="E52" s="3">
        <v>110.0</v>
      </c>
      <c r="F52" s="0" t="inlineStr">
        <is>
          <t>USD</t>
        </is>
      </c>
      <c r="G52" s="0" t="inlineStr">
        <is>
          <t>City Commute &amp; Fuel</t>
        </is>
      </c>
    </row>
    <row r="53">
      <c r="A53" s="0" t="inlineStr">
        <is>
          <t>2026-06-12</t>
        </is>
      </c>
      <c r="B53" s="0" t="inlineStr">
        <is>
          <t>Expense</t>
        </is>
      </c>
      <c r="C53" s="0" t="inlineStr">
        <is>
          <t>Transport &amp; Fuel</t>
        </is>
      </c>
      <c r="D53" s="0" t="inlineStr">
        <is>
          <t>Wing Digital Wallet (KHR)</t>
        </is>
      </c>
      <c r="E53" s="3">
        <v>240000.0</v>
      </c>
      <c r="F53" s="0" t="inlineStr">
        <is>
          <t>KHR</t>
        </is>
      </c>
      <c r="G53" s="0" t="inlineStr">
        <is>
          <t>PassApp &amp; Fuel Top-up (KHR)</t>
        </is>
      </c>
    </row>
    <row r="54">
      <c r="A54" s="0" t="inlineStr">
        <is>
          <t>2026-06-09</t>
        </is>
      </c>
      <c r="B54" s="0" t="inlineStr">
        <is>
          <t>Expense</t>
        </is>
      </c>
      <c r="C54" s="0" t="inlineStr">
        <is>
          <t>Food &amp; Dining</t>
        </is>
      </c>
      <c r="D54" s="0" t="inlineStr">
        <is>
          <t>ABA Bank Checking (USD)</t>
        </is>
      </c>
      <c r="E54" s="3">
        <v>345.0</v>
      </c>
      <c r="F54" s="0" t="inlineStr">
        <is>
          <t>USD</t>
        </is>
      </c>
      <c r="G54" s="0" t="inlineStr">
        <is>
          <t>Supermarket Groceries &amp; Dining</t>
        </is>
      </c>
    </row>
    <row r="55">
      <c r="A55" s="0" t="inlineStr">
        <is>
          <t>2026-06-08</t>
        </is>
      </c>
      <c r="B55" s="0" t="inlineStr">
        <is>
          <t>Expense</t>
        </is>
      </c>
      <c r="C55" s="0" t="inlineStr">
        <is>
          <t>Food &amp; Dining</t>
        </is>
      </c>
      <c r="D55" s="0" t="inlineStr">
        <is>
          <t>Daily Cash Wallet (KHR)</t>
        </is>
      </c>
      <c r="E55" s="3">
        <v>680000.0</v>
      </c>
      <c r="F55" s="0" t="inlineStr">
        <is>
          <t>KHR</t>
        </is>
      </c>
      <c r="G55" s="0" t="inlineStr">
        <is>
          <t>Local Market &amp; Daily Meals (KHR)</t>
        </is>
      </c>
    </row>
    <row r="56">
      <c r="A56" s="0" t="inlineStr">
        <is>
          <t>2026-06-06</t>
        </is>
      </c>
      <c r="B56" s="0" t="inlineStr">
        <is>
          <t>Income</t>
        </is>
      </c>
      <c r="C56" s="0" t="inlineStr">
        <is>
          <t>Freelance &amp; Consulting</t>
        </is>
      </c>
      <c r="D56" s="0" t="inlineStr">
        <is>
          <t>Wing Digital Wallet (KHR)</t>
        </is>
      </c>
      <c r="E56" s="3">
        <v>1600000.0</v>
      </c>
      <c r="F56" s="0" t="inlineStr">
        <is>
          <t>KHR</t>
        </is>
      </c>
      <c r="G56" s="0" t="inlineStr">
        <is>
          <t>Local Client Retainer (KHR)</t>
        </is>
      </c>
    </row>
    <row r="57">
      <c r="A57" s="0" t="inlineStr">
        <is>
          <t>2026-06-04</t>
        </is>
      </c>
      <c r="B57" s="0" t="inlineStr">
        <is>
          <t>Expense</t>
        </is>
      </c>
      <c r="C57" s="0" t="inlineStr">
        <is>
          <t>Housing &amp; Rent</t>
        </is>
      </c>
      <c r="D57" s="0" t="inlineStr">
        <is>
          <t>ABA Bank Checking (USD)</t>
        </is>
      </c>
      <c r="E57" s="3">
        <v>450.0</v>
      </c>
      <c r="F57" s="0" t="inlineStr">
        <is>
          <t>USD</t>
        </is>
      </c>
      <c r="G57" s="0" t="inlineStr">
        <is>
          <t>Apartment Rent - Phnom Penh</t>
        </is>
      </c>
    </row>
    <row r="58">
      <c r="A58" s="0" t="inlineStr">
        <is>
          <t>2026-06-02</t>
        </is>
      </c>
      <c r="B58" s="0" t="inlineStr">
        <is>
          <t>Income</t>
        </is>
      </c>
      <c r="C58" s="0" t="inlineStr">
        <is>
          <t>Monthly Salary</t>
        </is>
      </c>
      <c r="D58" s="0" t="inlineStr">
        <is>
          <t>ABA Bank Checking (USD)</t>
        </is>
      </c>
      <c r="E58" s="3">
        <v>1500.0</v>
      </c>
      <c r="F58" s="0" t="inlineStr">
        <is>
          <t>USD</t>
        </is>
      </c>
      <c r="G58" s="0" t="inlineStr">
        <is>
          <t>Monthly Tech Payroll Deposit</t>
        </is>
      </c>
    </row>
    <row r="59">
      <c r="A59" s="0" t="inlineStr">
        <is>
          <t>2026-05-19</t>
        </is>
      </c>
      <c r="B59" s="0" t="inlineStr">
        <is>
          <t>Expense</t>
        </is>
      </c>
      <c r="C59" s="0" t="inlineStr">
        <is>
          <t>Education &amp; Books</t>
        </is>
      </c>
      <c r="D59" s="0" t="inlineStr">
        <is>
          <t>ABA Bank Checking (USD)</t>
        </is>
      </c>
      <c r="E59" s="3">
        <v>65.0</v>
      </c>
      <c r="F59" s="0" t="inlineStr">
        <is>
          <t>USD</t>
        </is>
      </c>
      <c r="G59" s="0" t="inlineStr">
        <is>
          <t>University Course Materials &amp; Cloud Lab</t>
        </is>
      </c>
    </row>
    <row r="60">
      <c r="A60" s="0" t="inlineStr">
        <is>
          <t>2026-05-17</t>
        </is>
      </c>
      <c r="B60" s="0" t="inlineStr">
        <is>
          <t>Expense</t>
        </is>
      </c>
      <c r="C60" s="0" t="inlineStr">
        <is>
          <t>Utilities &amp; Internet</t>
        </is>
      </c>
      <c r="D60" s="0" t="inlineStr">
        <is>
          <t>ABA Bank Checking (USD)</t>
        </is>
      </c>
      <c r="E60" s="3">
        <v>85.0</v>
      </c>
      <c r="F60" s="0" t="inlineStr">
        <is>
          <t>USD</t>
        </is>
      </c>
      <c r="G60" s="0" t="inlineStr">
        <is>
          <t>EDC Electricity &amp; Fiber Internet</t>
        </is>
      </c>
    </row>
    <row r="61">
      <c r="A61" s="0" t="inlineStr">
        <is>
          <t>2026-05-16</t>
        </is>
      </c>
      <c r="B61" s="0" t="inlineStr">
        <is>
          <t>Expense</t>
        </is>
      </c>
      <c r="C61" s="0" t="inlineStr">
        <is>
          <t>Utilities &amp; Internet</t>
        </is>
      </c>
      <c r="D61" s="0" t="inlineStr">
        <is>
          <t>Wing Digital Wallet (KHR)</t>
        </is>
      </c>
      <c r="E61" s="3">
        <v>180000.0</v>
      </c>
      <c r="F61" s="0" t="inlineStr">
        <is>
          <t>KHR</t>
        </is>
      </c>
      <c r="G61" s="0" t="inlineStr">
        <is>
          <t>Mobile Data &amp; Water Utility (KHR)</t>
        </is>
      </c>
    </row>
    <row r="62">
      <c r="A62" s="0" t="inlineStr">
        <is>
          <t>2026-05-15</t>
        </is>
      </c>
      <c r="B62" s="0" t="inlineStr">
        <is>
          <t>Income</t>
        </is>
      </c>
      <c r="C62" s="0" t="inlineStr">
        <is>
          <t>Freelance &amp; Consulting</t>
        </is>
      </c>
      <c r="D62" s="0" t="inlineStr">
        <is>
          <t>ABA Bank Checking (USD)</t>
        </is>
      </c>
      <c r="E62" s="3">
        <v>250.0</v>
      </c>
      <c r="F62" s="0" t="inlineStr">
        <is>
          <t>USD</t>
        </is>
      </c>
      <c r="G62" s="0" t="inlineStr">
        <is>
          <t>MIS System Consulting Milestone</t>
        </is>
      </c>
    </row>
    <row r="63">
      <c r="A63" s="0" t="inlineStr">
        <is>
          <t>2026-05-13</t>
        </is>
      </c>
      <c r="B63" s="0" t="inlineStr">
        <is>
          <t>Expense</t>
        </is>
      </c>
      <c r="C63" s="0" t="inlineStr">
        <is>
          <t>Transport &amp; Fuel</t>
        </is>
      </c>
      <c r="D63" s="0" t="inlineStr">
        <is>
          <t>ABA Bank Checking (USD)</t>
        </is>
      </c>
      <c r="E63" s="3">
        <v>95.0</v>
      </c>
      <c r="F63" s="0" t="inlineStr">
        <is>
          <t>USD</t>
        </is>
      </c>
      <c r="G63" s="0" t="inlineStr">
        <is>
          <t>City Commute &amp; Fuel</t>
        </is>
      </c>
    </row>
    <row r="64">
      <c r="A64" s="0" t="inlineStr">
        <is>
          <t>2026-05-12</t>
        </is>
      </c>
      <c r="B64" s="0" t="inlineStr">
        <is>
          <t>Expense</t>
        </is>
      </c>
      <c r="C64" s="0" t="inlineStr">
        <is>
          <t>Transport &amp; Fuel</t>
        </is>
      </c>
      <c r="D64" s="0" t="inlineStr">
        <is>
          <t>Wing Digital Wallet (KHR)</t>
        </is>
      </c>
      <c r="E64" s="3">
        <v>240000.0</v>
      </c>
      <c r="F64" s="0" t="inlineStr">
        <is>
          <t>KHR</t>
        </is>
      </c>
      <c r="G64" s="0" t="inlineStr">
        <is>
          <t>PassApp &amp; Fuel Top-up (KHR)</t>
        </is>
      </c>
    </row>
    <row r="65">
      <c r="A65" s="0" t="inlineStr">
        <is>
          <t>2026-05-09</t>
        </is>
      </c>
      <c r="B65" s="0" t="inlineStr">
        <is>
          <t>Expense</t>
        </is>
      </c>
      <c r="C65" s="0" t="inlineStr">
        <is>
          <t>Food &amp; Dining</t>
        </is>
      </c>
      <c r="D65" s="0" t="inlineStr">
        <is>
          <t>ABA Bank Checking (USD)</t>
        </is>
      </c>
      <c r="E65" s="3">
        <v>310.0</v>
      </c>
      <c r="F65" s="0" t="inlineStr">
        <is>
          <t>USD</t>
        </is>
      </c>
      <c r="G65" s="0" t="inlineStr">
        <is>
          <t>Supermarket Groceries &amp; Dining</t>
        </is>
      </c>
    </row>
    <row r="66">
      <c r="A66" s="0" t="inlineStr">
        <is>
          <t>2026-05-08</t>
        </is>
      </c>
      <c r="B66" s="0" t="inlineStr">
        <is>
          <t>Expense</t>
        </is>
      </c>
      <c r="C66" s="0" t="inlineStr">
        <is>
          <t>Food &amp; Dining</t>
        </is>
      </c>
      <c r="D66" s="0" t="inlineStr">
        <is>
          <t>Daily Cash Wallet (KHR)</t>
        </is>
      </c>
      <c r="E66" s="3">
        <v>680000.0</v>
      </c>
      <c r="F66" s="0" t="inlineStr">
        <is>
          <t>KHR</t>
        </is>
      </c>
      <c r="G66" s="0" t="inlineStr">
        <is>
          <t>Local Market &amp; Daily Meals (KHR)</t>
        </is>
      </c>
    </row>
    <row r="67">
      <c r="A67" s="0" t="inlineStr">
        <is>
          <t>2026-05-06</t>
        </is>
      </c>
      <c r="B67" s="0" t="inlineStr">
        <is>
          <t>Income</t>
        </is>
      </c>
      <c r="C67" s="0" t="inlineStr">
        <is>
          <t>Freelance &amp; Consulting</t>
        </is>
      </c>
      <c r="D67" s="0" t="inlineStr">
        <is>
          <t>Wing Digital Wallet (KHR)</t>
        </is>
      </c>
      <c r="E67" s="3">
        <v>1600000.0</v>
      </c>
      <c r="F67" s="0" t="inlineStr">
        <is>
          <t>KHR</t>
        </is>
      </c>
      <c r="G67" s="0" t="inlineStr">
        <is>
          <t>Local Client Retainer (KHR)</t>
        </is>
      </c>
    </row>
    <row r="68">
      <c r="A68" s="0" t="inlineStr">
        <is>
          <t>2026-05-04</t>
        </is>
      </c>
      <c r="B68" s="0" t="inlineStr">
        <is>
          <t>Expense</t>
        </is>
      </c>
      <c r="C68" s="0" t="inlineStr">
        <is>
          <t>Housing &amp; Rent</t>
        </is>
      </c>
      <c r="D68" s="0" t="inlineStr">
        <is>
          <t>ABA Bank Checking (USD)</t>
        </is>
      </c>
      <c r="E68" s="3">
        <v>450.0</v>
      </c>
      <c r="F68" s="0" t="inlineStr">
        <is>
          <t>USD</t>
        </is>
      </c>
      <c r="G68" s="0" t="inlineStr">
        <is>
          <t>Apartment Rent - Phnom Penh</t>
        </is>
      </c>
    </row>
    <row r="69">
      <c r="A69" s="0" t="inlineStr">
        <is>
          <t>2026-05-02</t>
        </is>
      </c>
      <c r="B69" s="0" t="inlineStr">
        <is>
          <t>Income</t>
        </is>
      </c>
      <c r="C69" s="0" t="inlineStr">
        <is>
          <t>Monthly Salary</t>
        </is>
      </c>
      <c r="D69" s="0" t="inlineStr">
        <is>
          <t>ABA Bank Checking (USD)</t>
        </is>
      </c>
      <c r="E69" s="3">
        <v>1500.0</v>
      </c>
      <c r="F69" s="0" t="inlineStr">
        <is>
          <t>USD</t>
        </is>
      </c>
      <c r="G69" s="0" t="inlineStr">
        <is>
          <t>Monthly Tech Payroll Deposit</t>
        </is>
      </c>
    </row>
    <row r="70">
      <c r="A70" s="4" t="inlineStr">
        <is>
          <t>Total Transaction Count (COUNT)</t>
        </is>
      </c>
      <c r="B70" s="4" t="inlineStr">
        <is>
          <t/>
        </is>
      </c>
      <c r="C70" s="4" t="inlineStr">
        <is>
          <t/>
        </is>
      </c>
      <c r="D70" s="4" t="inlineStr">
        <is>
          <t/>
        </is>
      </c>
      <c r="E70" s="4">
        <f>COUNT(E4:E69)</f>
        <v>66</v>
      </c>
      <c r="F70" s="4" t="inlineStr">
        <is>
          <t>entries</t>
        </is>
      </c>
      <c r="G70" s="4" t="inlineStr">
        <is>
          <t/>
        </is>
      </c>
    </row>
  </sheetData>
</worksheet>
</file>